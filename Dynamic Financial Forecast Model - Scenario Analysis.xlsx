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jit\Documents\Data Analytics\Financial Analysis\"/>
    </mc:Choice>
  </mc:AlternateContent>
  <xr:revisionPtr revIDLastSave="0" documentId="13_ncr:1_{D91DAC3A-9632-4E09-B299-C1B193D87335}" xr6:coauthVersionLast="36" xr6:coauthVersionMax="47" xr10:uidLastSave="{00000000-0000-0000-0000-000000000000}"/>
  <bookViews>
    <workbookView xWindow="0" yWindow="0" windowWidth="20490" windowHeight="7545" activeTab="1" xr2:uid="{51C94CC5-0C2F-6D4D-9C41-E0029B3FD163}"/>
  </bookViews>
  <sheets>
    <sheet name="Cover Page" sheetId="2" r:id="rId1"/>
    <sheet name="Forecasting Model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G44" i="1"/>
  <c r="F44" i="1"/>
  <c r="E44" i="1"/>
  <c r="D44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6" i="1"/>
  <c r="G36" i="1"/>
  <c r="F36" i="1"/>
  <c r="E36" i="1"/>
  <c r="D36" i="1"/>
  <c r="H35" i="1"/>
  <c r="G35" i="1"/>
  <c r="F35" i="1"/>
  <c r="E35" i="1"/>
  <c r="D35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U30" i="1" l="1"/>
  <c r="V30" i="1" s="1"/>
  <c r="W30" i="1" s="1"/>
  <c r="X30" i="1" s="1"/>
  <c r="M30" i="1"/>
  <c r="N30" i="1" s="1"/>
  <c r="O30" i="1" s="1"/>
  <c r="P30" i="1" s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D16" i="1"/>
  <c r="D17" i="1"/>
  <c r="D18" i="1"/>
  <c r="D15" i="1"/>
  <c r="D8" i="1"/>
  <c r="D7" i="1"/>
  <c r="D5" i="1"/>
  <c r="F19" i="1" l="1"/>
  <c r="H19" i="1"/>
  <c r="E19" i="1"/>
  <c r="D19" i="1"/>
  <c r="G19" i="1"/>
  <c r="E5" i="1"/>
  <c r="D9" i="1"/>
  <c r="D11" i="1" s="1"/>
  <c r="F5" i="1"/>
  <c r="F7" i="1"/>
  <c r="F8" i="1"/>
  <c r="E8" i="1"/>
  <c r="E7" i="1"/>
  <c r="E2" i="1"/>
  <c r="F2" i="1" s="1"/>
  <c r="G2" i="1" s="1"/>
  <c r="H2" i="1" s="1"/>
  <c r="D12" i="1" l="1"/>
  <c r="D21" i="1"/>
  <c r="D22" i="1" s="1"/>
  <c r="G7" i="1"/>
  <c r="G5" i="1"/>
  <c r="G8" i="1"/>
  <c r="E9" i="1"/>
  <c r="E11" i="1" s="1"/>
  <c r="F9" i="1"/>
  <c r="F11" i="1" s="1"/>
  <c r="D24" i="1" l="1"/>
  <c r="D25" i="1" s="1"/>
  <c r="F12" i="1"/>
  <c r="F21" i="1"/>
  <c r="E21" i="1"/>
  <c r="E12" i="1"/>
  <c r="G9" i="1"/>
  <c r="G11" i="1" s="1"/>
  <c r="H7" i="1"/>
  <c r="H8" i="1"/>
  <c r="H5" i="1"/>
  <c r="G12" i="1" l="1"/>
  <c r="G21" i="1"/>
  <c r="E22" i="1"/>
  <c r="E24" i="1"/>
  <c r="E25" i="1" s="1"/>
  <c r="H9" i="1"/>
  <c r="H11" i="1" s="1"/>
  <c r="F24" i="1"/>
  <c r="F25" i="1" s="1"/>
  <c r="F22" i="1"/>
  <c r="H21" i="1" l="1"/>
  <c r="H12" i="1"/>
  <c r="G24" i="1"/>
  <c r="G25" i="1" s="1"/>
  <c r="G22" i="1"/>
  <c r="H22" i="1" l="1"/>
  <c r="H24" i="1"/>
  <c r="H25" i="1" s="1"/>
</calcChain>
</file>

<file path=xl/sharedStrings.xml><?xml version="1.0" encoding="utf-8"?>
<sst xmlns="http://schemas.openxmlformats.org/spreadsheetml/2006/main" count="120" uniqueCount="44">
  <si>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</si>
  <si>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</si>
  <si>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</si>
  <si>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</si>
  <si>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</si>
  <si>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</si>
  <si>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</si>
  <si>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</si>
  <si>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</si>
  <si>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</si>
  <si>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</si>
  <si>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</si>
  <si>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</si>
  <si>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</si>
  <si>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</si>
  <si>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</si>
  <si>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</si>
  <si>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</si>
  <si>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</si>
  <si>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</si>
  <si>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</si>
  <si>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</si>
  <si>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</si>
  <si>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</si>
  <si>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</si>
  <si>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</si>
  <si>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</si>
  <si>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</si>
  <si>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</si>
  <si>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</si>
  <si>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</si>
  <si>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</si>
  <si>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</si>
  <si>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</si>
  <si>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</si>
  <si>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</si>
  <si>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</si>
  <si>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</si>
  <si>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Get Our Complete Finance &amp; Valuation Course</t>
  </si>
  <si>
    <t>Financial Model Start File</t>
  </si>
  <si>
    <t>Assumptions (Live Case)</t>
  </si>
  <si>
    <t>Scenario</t>
  </si>
  <si>
    <t>Optimistic (Scenario 1)</t>
  </si>
  <si>
    <t>Pessimistic (Scenario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</si>
</sst>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6" fontId="5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7" fillId="4" borderId="0" xfId="0" applyFont="1" applyFill="1"/>
    <xf numFmtId="0" fontId="6" fillId="0" borderId="0" xfId="0" applyFont="1" applyAlignment="1">
      <alignment horizontal="left" indent="1"/>
    </xf>
    <xf numFmtId="0" fontId="7" fillId="0" borderId="1" xfId="0" applyFont="1" applyBorder="1"/>
    <xf numFmtId="166" fontId="7" fillId="0" borderId="1" xfId="0" applyNumberFormat="1" applyFont="1" applyBorder="1"/>
    <xf numFmtId="0" fontId="7" fillId="0" borderId="0" xfId="0" applyFont="1"/>
    <xf numFmtId="0" fontId="7" fillId="0" borderId="2" xfId="0" applyFont="1" applyBorder="1"/>
    <xf numFmtId="166" fontId="7" fillId="0" borderId="2" xfId="0" applyNumberFormat="1" applyFont="1" applyBorder="1"/>
    <xf numFmtId="0" fontId="7" fillId="5" borderId="2" xfId="0" applyFont="1" applyFill="1" applyBorder="1"/>
    <xf numFmtId="166" fontId="7" fillId="5" borderId="2" xfId="0" applyNumberFormat="1" applyFont="1" applyFill="1" applyBorder="1"/>
    <xf numFmtId="166" fontId="7" fillId="0" borderId="0" xfId="0" applyNumberFormat="1" applyFont="1"/>
    <xf numFmtId="9" fontId="8" fillId="0" borderId="0" xfId="0" applyNumberFormat="1" applyFont="1"/>
    <xf numFmtId="0" fontId="9" fillId="0" borderId="0" xfId="0" applyFont="1"/>
    <xf numFmtId="166" fontId="6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4" fontId="5" fillId="0" borderId="0" xfId="0" applyNumberFormat="1" applyFont="1"/>
    <xf numFmtId="0" fontId="4" fillId="3" borderId="0" xfId="0" applyFont="1" applyFill="1"/>
    <xf numFmtId="9" fontId="5" fillId="0" borderId="0" xfId="2" applyFont="1"/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9" fontId="9" fillId="0" borderId="0" xfId="2" applyFont="1"/>
    <xf numFmtId="1" fontId="3" fillId="2" borderId="0" xfId="1" applyNumberFormat="1" applyFont="1" applyFill="1" applyAlignment="1">
      <alignment horizontal="center"/>
    </xf>
    <xf numFmtId="17" fontId="4" fillId="6" borderId="0" xfId="0" applyNumberFormat="1" applyFont="1" applyFill="1" applyAlignment="1">
      <alignment horizontal="center"/>
    </xf>
    <xf numFmtId="17" fontId="4" fillId="3" borderId="0" xfId="0" applyNumberFormat="1" applyFont="1" applyFill="1" applyAlignment="1">
      <alignment horizontal="center"/>
    </xf>
    <xf numFmtId="0" fontId="1" fillId="0" borderId="3" xfId="4" applyBorder="1"/>
    <xf numFmtId="0" fontId="13" fillId="0" borderId="4" xfId="4" applyFont="1" applyBorder="1" applyAlignment="1">
      <alignment horizontal="center" vertical="center"/>
    </xf>
    <xf numFmtId="0" fontId="1" fillId="0" borderId="5" xfId="4" applyBorder="1"/>
    <xf numFmtId="0" fontId="1" fillId="4" borderId="0" xfId="4" applyFill="1"/>
    <xf numFmtId="0" fontId="1" fillId="0" borderId="6" xfId="4" applyBorder="1"/>
    <xf numFmtId="0" fontId="14" fillId="0" borderId="0" xfId="4" applyFont="1" applyAlignment="1">
      <alignment horizontal="center" vertical="center"/>
    </xf>
    <xf numFmtId="0" fontId="1" fillId="0" borderId="7" xfId="4" applyBorder="1"/>
    <xf numFmtId="0" fontId="1" fillId="0" borderId="0" xfId="4"/>
    <xf numFmtId="0" fontId="2" fillId="0" borderId="6" xfId="4" applyFont="1" applyBorder="1"/>
    <xf numFmtId="0" fontId="15" fillId="0" borderId="0" xfId="4" applyFont="1" applyAlignment="1">
      <alignment horizontal="center"/>
    </xf>
    <xf numFmtId="0" fontId="2" fillId="0" borderId="7" xfId="4" applyFont="1" applyBorder="1"/>
    <xf numFmtId="0" fontId="2" fillId="4" borderId="0" xfId="4" applyFont="1" applyFill="1"/>
    <xf numFmtId="0" fontId="15" fillId="0" borderId="0" xfId="4" applyFont="1"/>
    <xf numFmtId="0" fontId="1" fillId="0" borderId="6" xfId="4" applyBorder="1" applyAlignment="1">
      <alignment vertical="center"/>
    </xf>
    <xf numFmtId="0" fontId="1" fillId="0" borderId="7" xfId="4" applyBorder="1" applyAlignment="1">
      <alignment vertical="center"/>
    </xf>
    <xf numFmtId="0" fontId="1" fillId="4" borderId="0" xfId="4" applyFill="1" applyAlignment="1">
      <alignment vertical="center"/>
    </xf>
    <xf numFmtId="0" fontId="19" fillId="0" borderId="0" xfId="6" applyFont="1" applyFill="1" applyBorder="1"/>
    <xf numFmtId="0" fontId="7" fillId="0" borderId="9" xfId="4" applyFont="1" applyBorder="1"/>
    <xf numFmtId="0" fontId="1" fillId="0" borderId="0" xfId="4" applyAlignment="1">
      <alignment vertical="top" wrapText="1"/>
    </xf>
    <xf numFmtId="0" fontId="1" fillId="0" borderId="10" xfId="4" applyBorder="1"/>
    <xf numFmtId="0" fontId="1" fillId="0" borderId="9" xfId="4" applyBorder="1"/>
    <xf numFmtId="0" fontId="1" fillId="0" borderId="11" xfId="4" applyBorder="1"/>
    <xf numFmtId="0" fontId="18" fillId="8" borderId="8" xfId="3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9" borderId="0" xfId="0" applyFont="1" applyFill="1" applyAlignment="1">
      <alignment horizontal="center"/>
    </xf>
  </cellXfs>
  <cellStyles count="7">
    <cellStyle name="Comma" xfId="1" builtinId="3"/>
    <cellStyle name="Hyperlink" xfId="3" builtinId="8"/>
    <cellStyle name="Hyperlink 2" xfId="5" xr:uid="{5F59BA89-7615-4281-8BEF-2784D80BF483}"/>
    <cellStyle name="Hyperlink 2 2" xfId="6" xr:uid="{E46816E3-91A1-429A-9F57-9AA0637835E3}"/>
    <cellStyle name="Normal" xfId="0" builtinId="0"/>
    <cellStyle name="Normal 2 2" xfId="4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27B43E1E-B6CF-49AB-9A62-E8209207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finance-valuation-course?utm_source=YTDownloadFile&amp;utm_medium=excel-financial-model-apr-30-2023&amp;utm_campaign=YTDown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5DD8-9B40-4EC2-9E5C-82832308D8C6}">
  <sheetPr codeName="Sheet2"/>
  <dimension ref="B4:D19"/>
  <sheetViews>
    <sheetView showGridLines="0" zoomScale="70" zoomScaleNormal="70" workbookViewId="0">
      <selection activeCell="D7" sqref="D7"/>
    </sheetView>
  </sheetViews>
  <sheetFormatPr defaultColWidth="9.5" defaultRowHeight="15" x14ac:dyDescent="0.25"/>
  <cols>
    <col min="1" max="1" width="9.5" style="40"/>
    <col min="2" max="2" width="7.375" style="40" customWidth="1"/>
    <col min="3" max="3" width="96.75" style="40" bestFit="1" customWidth="1"/>
    <col min="4" max="4" width="8.25" style="40" customWidth="1"/>
    <col min="5" max="16384" width="9.5" style="40"/>
  </cols>
  <sheetData>
    <row r="4" spans="2:4" ht="54" x14ac:dyDescent="0.25">
      <c r="B4" s="37"/>
      <c r="C4" s="38" t="s">
        <v>39</v>
      </c>
      <c r="D4" s="39"/>
    </row>
    <row r="5" spans="2:4" ht="64.5" x14ac:dyDescent="0.25">
      <c r="B5" s="41"/>
      <c r="C5" s="42"/>
      <c r="D5" s="43"/>
    </row>
    <row r="6" spans="2:4" x14ac:dyDescent="0.25">
      <c r="B6" s="41"/>
      <c r="C6" s="44"/>
      <c r="D6" s="43"/>
    </row>
    <row r="7" spans="2:4" x14ac:dyDescent="0.25">
      <c r="B7" s="41"/>
      <c r="C7" s="44"/>
      <c r="D7" s="43"/>
    </row>
    <row r="8" spans="2:4" x14ac:dyDescent="0.25">
      <c r="B8" s="41"/>
      <c r="C8" s="44"/>
      <c r="D8" s="43"/>
    </row>
    <row r="9" spans="2:4" s="48" customFormat="1" ht="21" x14ac:dyDescent="0.35">
      <c r="B9" s="45"/>
      <c r="C9" s="46" t="s">
        <v>33</v>
      </c>
      <c r="D9" s="47"/>
    </row>
    <row r="10" spans="2:4" s="48" customFormat="1" ht="21" x14ac:dyDescent="0.35">
      <c r="B10" s="45"/>
      <c r="C10" s="49"/>
      <c r="D10" s="47"/>
    </row>
    <row r="11" spans="2:4" s="52" customFormat="1" ht="23.45" customHeight="1" x14ac:dyDescent="0.25">
      <c r="B11" s="50"/>
      <c r="C11" s="59" t="s">
        <v>38</v>
      </c>
      <c r="D11" s="51"/>
    </row>
    <row r="12" spans="2:4" x14ac:dyDescent="0.25">
      <c r="B12" s="41"/>
      <c r="C12" s="44"/>
      <c r="D12" s="43"/>
    </row>
    <row r="13" spans="2:4" x14ac:dyDescent="0.25">
      <c r="B13" s="41"/>
      <c r="C13" s="44"/>
      <c r="D13" s="43"/>
    </row>
    <row r="14" spans="2:4" x14ac:dyDescent="0.25">
      <c r="B14" s="41"/>
      <c r="C14" s="44"/>
      <c r="D14" s="43"/>
    </row>
    <row r="15" spans="2:4" ht="18.75" x14ac:dyDescent="0.3">
      <c r="B15" s="41"/>
      <c r="C15" s="53" t="s">
        <v>34</v>
      </c>
      <c r="D15" s="43"/>
    </row>
    <row r="16" spans="2:4" x14ac:dyDescent="0.25">
      <c r="B16" s="41"/>
      <c r="C16" s="54" t="s">
        <v>35</v>
      </c>
      <c r="D16" s="43"/>
    </row>
    <row r="17" spans="2:4" x14ac:dyDescent="0.25">
      <c r="B17" s="41"/>
      <c r="C17" s="44" t="s">
        <v>36</v>
      </c>
      <c r="D17" s="43"/>
    </row>
    <row r="18" spans="2:4" ht="30" x14ac:dyDescent="0.25">
      <c r="B18" s="41"/>
      <c r="C18" s="55" t="s">
        <v>37</v>
      </c>
      <c r="D18" s="43"/>
    </row>
    <row r="19" spans="2:4" x14ac:dyDescent="0.25">
      <c r="B19" s="56"/>
      <c r="C19" s="57"/>
      <c r="D19" s="58"/>
    </row>
  </sheetData>
  <hyperlinks>
    <hyperlink ref="C11" r:id="rId1" xr:uid="{7AB64434-E6B6-4877-90B0-C2834D57318A}"/>
    <hyperlink ref="C15" r:id="rId2" display="Made by Kenji Explains" xr:uid="{386A39F8-F42A-4D89-8B86-9265C130E89F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X44"/>
  <sheetViews>
    <sheetView showGridLines="0" tabSelected="1" zoomScaleNormal="100" workbookViewId="0">
      <selection activeCell="K3" sqref="K3"/>
    </sheetView>
  </sheetViews>
  <sheetFormatPr defaultColWidth="10.875" defaultRowHeight="15" x14ac:dyDescent="0.25"/>
  <cols>
    <col min="1" max="1" width="4.5" style="5" customWidth="1"/>
    <col min="2" max="2" width="22" style="5" customWidth="1"/>
    <col min="3" max="3" width="4.125" style="20" customWidth="1"/>
    <col min="4" max="7" width="8.875" style="5" customWidth="1"/>
    <col min="8" max="8" width="9.25" style="5" customWidth="1"/>
    <col min="9" max="16384" width="10.875" style="5"/>
  </cols>
  <sheetData>
    <row r="2" spans="2:11" x14ac:dyDescent="0.25">
      <c r="B2" s="1"/>
      <c r="C2" s="2"/>
      <c r="D2" s="34">
        <v>2023</v>
      </c>
      <c r="E2" s="34">
        <f>D2+1</f>
        <v>2024</v>
      </c>
      <c r="F2" s="34">
        <f t="shared" ref="F2:H2" si="0">E2+1</f>
        <v>2025</v>
      </c>
      <c r="G2" s="34">
        <f t="shared" si="0"/>
        <v>2026</v>
      </c>
      <c r="H2" s="34">
        <f t="shared" si="0"/>
        <v>2027</v>
      </c>
    </row>
    <row r="3" spans="2:11" x14ac:dyDescent="0.25">
      <c r="B3" s="27" t="s">
        <v>13</v>
      </c>
      <c r="C3" s="29" t="s">
        <v>10</v>
      </c>
      <c r="D3" s="35" t="s">
        <v>17</v>
      </c>
      <c r="E3" s="36" t="s">
        <v>18</v>
      </c>
      <c r="F3" s="36" t="s">
        <v>19</v>
      </c>
      <c r="G3" s="36" t="s">
        <v>20</v>
      </c>
      <c r="H3" s="36" t="s">
        <v>21</v>
      </c>
      <c r="J3" s="60" t="s">
        <v>41</v>
      </c>
      <c r="K3" s="61">
        <v>1</v>
      </c>
    </row>
    <row r="4" spans="2:11" x14ac:dyDescent="0.25">
      <c r="B4" s="31" t="s">
        <v>0</v>
      </c>
      <c r="C4" s="32"/>
      <c r="D4" s="31"/>
      <c r="E4" s="31"/>
      <c r="F4" s="31"/>
      <c r="G4" s="31"/>
      <c r="H4" s="31"/>
    </row>
    <row r="5" spans="2:11" x14ac:dyDescent="0.25">
      <c r="B5" s="10" t="s">
        <v>3</v>
      </c>
      <c r="C5" s="22" t="s">
        <v>12</v>
      </c>
      <c r="D5" s="15">
        <f>D30*D32</f>
        <v>119850.00000000001</v>
      </c>
      <c r="E5" s="15">
        <f t="shared" ref="E5:H5" si="1">E30*E32</f>
        <v>209737.50000000003</v>
      </c>
      <c r="F5" s="15">
        <f t="shared" si="1"/>
        <v>367040.625</v>
      </c>
      <c r="G5" s="15">
        <f t="shared" si="1"/>
        <v>659203.125</v>
      </c>
      <c r="H5" s="15">
        <f t="shared" si="1"/>
        <v>1153605.46875</v>
      </c>
    </row>
    <row r="6" spans="2:11" x14ac:dyDescent="0.25">
      <c r="B6" s="10" t="s">
        <v>26</v>
      </c>
      <c r="D6" s="4"/>
      <c r="E6" s="4"/>
      <c r="F6" s="4"/>
      <c r="G6" s="4"/>
      <c r="H6" s="4"/>
    </row>
    <row r="7" spans="2:11" x14ac:dyDescent="0.25">
      <c r="B7" s="7" t="s">
        <v>31</v>
      </c>
      <c r="C7" s="20" t="s">
        <v>12</v>
      </c>
      <c r="D7" s="4">
        <f>D$30*D35</f>
        <v>19500</v>
      </c>
      <c r="E7" s="4">
        <f t="shared" ref="E7:H7" si="2">E$30*E35</f>
        <v>34125</v>
      </c>
      <c r="F7" s="4">
        <f t="shared" si="2"/>
        <v>59718.75</v>
      </c>
      <c r="G7" s="4">
        <f t="shared" si="2"/>
        <v>96468.75</v>
      </c>
      <c r="H7" s="4">
        <f t="shared" si="2"/>
        <v>154751.953125</v>
      </c>
    </row>
    <row r="8" spans="2:11" x14ac:dyDescent="0.25">
      <c r="B8" s="7" t="s">
        <v>32</v>
      </c>
      <c r="C8" s="20" t="s">
        <v>12</v>
      </c>
      <c r="D8" s="4">
        <f>D$30*D36</f>
        <v>6750</v>
      </c>
      <c r="E8" s="4">
        <f t="shared" ref="E8:H8" si="3">E$30*E36</f>
        <v>11812.5</v>
      </c>
      <c r="F8" s="4">
        <f t="shared" si="3"/>
        <v>20671.875</v>
      </c>
      <c r="G8" s="4">
        <f t="shared" si="3"/>
        <v>32156.25</v>
      </c>
      <c r="H8" s="4">
        <f t="shared" si="3"/>
        <v>49239.2578125</v>
      </c>
    </row>
    <row r="9" spans="2:11" x14ac:dyDescent="0.25">
      <c r="B9" s="8" t="s">
        <v>27</v>
      </c>
      <c r="C9" s="21" t="s">
        <v>12</v>
      </c>
      <c r="D9" s="9">
        <f>SUM(D7:D8)</f>
        <v>26250</v>
      </c>
      <c r="E9" s="9">
        <f t="shared" ref="E9:H9" si="4">SUM(E7:E8)</f>
        <v>45937.5</v>
      </c>
      <c r="F9" s="9">
        <f t="shared" si="4"/>
        <v>80390.625</v>
      </c>
      <c r="G9" s="9">
        <f t="shared" si="4"/>
        <v>128625</v>
      </c>
      <c r="H9" s="9">
        <f t="shared" si="4"/>
        <v>203991.2109375</v>
      </c>
    </row>
    <row r="10" spans="2:11" x14ac:dyDescent="0.25">
      <c r="B10" s="7"/>
      <c r="D10" s="4"/>
      <c r="E10" s="4"/>
      <c r="F10" s="4"/>
      <c r="G10" s="4"/>
      <c r="H10" s="4"/>
    </row>
    <row r="11" spans="2:11" x14ac:dyDescent="0.25">
      <c r="B11" s="11" t="s">
        <v>4</v>
      </c>
      <c r="C11" s="23" t="s">
        <v>12</v>
      </c>
      <c r="D11" s="12">
        <f>D5-D9</f>
        <v>93600.000000000015</v>
      </c>
      <c r="E11" s="12">
        <f t="shared" ref="E11:H11" si="5">E5-E9</f>
        <v>163800.00000000003</v>
      </c>
      <c r="F11" s="12">
        <f t="shared" si="5"/>
        <v>286650</v>
      </c>
      <c r="G11" s="12">
        <f t="shared" si="5"/>
        <v>530578.125</v>
      </c>
      <c r="H11" s="12">
        <f t="shared" si="5"/>
        <v>949614.2578125</v>
      </c>
    </row>
    <row r="12" spans="2:11" x14ac:dyDescent="0.25">
      <c r="B12" s="17" t="s">
        <v>5</v>
      </c>
      <c r="C12" s="20" t="s">
        <v>11</v>
      </c>
      <c r="D12" s="33">
        <f>D11/D5</f>
        <v>0.78097622027534419</v>
      </c>
      <c r="E12" s="33">
        <f t="shared" ref="E12:H12" si="6">E11/E5</f>
        <v>0.78097622027534419</v>
      </c>
      <c r="F12" s="33">
        <f t="shared" si="6"/>
        <v>0.78097622027534419</v>
      </c>
      <c r="G12" s="33">
        <f t="shared" si="6"/>
        <v>0.80487804878048785</v>
      </c>
      <c r="H12" s="33">
        <f t="shared" si="6"/>
        <v>0.82317073170731703</v>
      </c>
    </row>
    <row r="14" spans="2:11" x14ac:dyDescent="0.25">
      <c r="B14" s="10" t="s">
        <v>22</v>
      </c>
      <c r="C14" s="22"/>
    </row>
    <row r="15" spans="2:11" x14ac:dyDescent="0.25">
      <c r="B15" s="7" t="s">
        <v>1</v>
      </c>
      <c r="C15" s="25" t="s">
        <v>12</v>
      </c>
      <c r="D15" s="4">
        <f>D39</f>
        <v>20000</v>
      </c>
      <c r="E15" s="4">
        <f t="shared" ref="E15:H15" si="7">E39</f>
        <v>20000</v>
      </c>
      <c r="F15" s="4">
        <f t="shared" si="7"/>
        <v>20000</v>
      </c>
      <c r="G15" s="4">
        <f t="shared" si="7"/>
        <v>30000</v>
      </c>
      <c r="H15" s="4">
        <f t="shared" si="7"/>
        <v>30000</v>
      </c>
    </row>
    <row r="16" spans="2:11" x14ac:dyDescent="0.25">
      <c r="B16" s="7" t="s">
        <v>24</v>
      </c>
      <c r="C16" s="25" t="s">
        <v>12</v>
      </c>
      <c r="D16" s="4">
        <f t="shared" ref="D16:H18" si="8">D40</f>
        <v>50000</v>
      </c>
      <c r="E16" s="4">
        <f t="shared" si="8"/>
        <v>50000</v>
      </c>
      <c r="F16" s="4">
        <f t="shared" si="8"/>
        <v>50000</v>
      </c>
      <c r="G16" s="4">
        <f t="shared" si="8"/>
        <v>100000</v>
      </c>
      <c r="H16" s="4">
        <f t="shared" si="8"/>
        <v>100000</v>
      </c>
    </row>
    <row r="17" spans="2:24" x14ac:dyDescent="0.25">
      <c r="B17" s="7" t="s">
        <v>6</v>
      </c>
      <c r="C17" s="20" t="s">
        <v>12</v>
      </c>
      <c r="D17" s="4">
        <f t="shared" si="8"/>
        <v>25000</v>
      </c>
      <c r="E17" s="4">
        <f t="shared" si="8"/>
        <v>25000</v>
      </c>
      <c r="F17" s="4">
        <f t="shared" si="8"/>
        <v>25000</v>
      </c>
      <c r="G17" s="4">
        <f t="shared" si="8"/>
        <v>50000</v>
      </c>
      <c r="H17" s="4">
        <f t="shared" si="8"/>
        <v>50000</v>
      </c>
    </row>
    <row r="18" spans="2:24" x14ac:dyDescent="0.25">
      <c r="B18" s="7" t="s">
        <v>2</v>
      </c>
      <c r="C18" s="20" t="s">
        <v>12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24" x14ac:dyDescent="0.25">
      <c r="B19" s="8" t="s">
        <v>28</v>
      </c>
      <c r="C19" s="21" t="s">
        <v>12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100000</v>
      </c>
      <c r="G19" s="9">
        <f t="shared" si="9"/>
        <v>185000</v>
      </c>
      <c r="H19" s="9">
        <f t="shared" si="9"/>
        <v>185000</v>
      </c>
    </row>
    <row r="20" spans="2:24" x14ac:dyDescent="0.25">
      <c r="B20" s="10"/>
      <c r="C20" s="22"/>
      <c r="D20" s="15"/>
      <c r="E20" s="15"/>
      <c r="F20" s="15"/>
      <c r="G20" s="15"/>
      <c r="H20" s="15"/>
    </row>
    <row r="21" spans="2:24" x14ac:dyDescent="0.25">
      <c r="B21" s="11" t="s">
        <v>29</v>
      </c>
      <c r="C21" s="23" t="s">
        <v>12</v>
      </c>
      <c r="D21" s="12">
        <f>D11-D19</f>
        <v>-6399.9999999999854</v>
      </c>
      <c r="E21" s="12">
        <f t="shared" ref="E21:H21" si="10">E11-E19</f>
        <v>63800.000000000029</v>
      </c>
      <c r="F21" s="12">
        <f t="shared" si="10"/>
        <v>186650</v>
      </c>
      <c r="G21" s="12">
        <f t="shared" si="10"/>
        <v>345578.125</v>
      </c>
      <c r="H21" s="12">
        <f t="shared" si="10"/>
        <v>764614.2578125</v>
      </c>
    </row>
    <row r="22" spans="2:24" x14ac:dyDescent="0.25">
      <c r="B22" s="17" t="s">
        <v>30</v>
      </c>
      <c r="C22" s="20" t="s">
        <v>11</v>
      </c>
      <c r="D22" s="33">
        <f>D21/D5</f>
        <v>-5.3400083437630246E-2</v>
      </c>
      <c r="E22" s="33">
        <f t="shared" ref="E22:H22" si="11">E21/E5</f>
        <v>0.30418976101078737</v>
      </c>
      <c r="F22" s="33">
        <f t="shared" si="11"/>
        <v>0.50852681498131169</v>
      </c>
      <c r="G22" s="33">
        <f t="shared" si="11"/>
        <v>0.52423617530635946</v>
      </c>
      <c r="H22" s="33">
        <f t="shared" si="11"/>
        <v>0.66280394686495803</v>
      </c>
    </row>
    <row r="24" spans="2:24" x14ac:dyDescent="0.25">
      <c r="B24" s="5" t="s">
        <v>7</v>
      </c>
      <c r="C24" s="20" t="s">
        <v>12</v>
      </c>
      <c r="D24" s="18" t="str">
        <f>IF(D21&gt;0,D21*D44,"NA")</f>
        <v>NA</v>
      </c>
      <c r="E24" s="18">
        <f t="shared" ref="E24:H24" si="12">IF(E21&gt;0,E21*E44,"NA")</f>
        <v>12760.000000000007</v>
      </c>
      <c r="F24" s="18">
        <f t="shared" si="12"/>
        <v>37330</v>
      </c>
      <c r="G24" s="18">
        <f t="shared" si="12"/>
        <v>69115.625</v>
      </c>
      <c r="H24" s="18">
        <f t="shared" si="12"/>
        <v>152922.8515625</v>
      </c>
    </row>
    <row r="25" spans="2:24" x14ac:dyDescent="0.25">
      <c r="B25" s="13" t="s">
        <v>8</v>
      </c>
      <c r="C25" s="24" t="s">
        <v>12</v>
      </c>
      <c r="D25" s="14">
        <f>IFERROR(D21-D24,D21)</f>
        <v>-6399.9999999999854</v>
      </c>
      <c r="E25" s="14">
        <f t="shared" ref="E25:H25" si="13">IFERROR(E21-E24,E21)</f>
        <v>51040.000000000022</v>
      </c>
      <c r="F25" s="14">
        <f t="shared" si="13"/>
        <v>149320</v>
      </c>
      <c r="G25" s="14">
        <f t="shared" si="13"/>
        <v>276462.5</v>
      </c>
      <c r="H25" s="14">
        <f t="shared" si="13"/>
        <v>611691.40625</v>
      </c>
    </row>
    <row r="28" spans="2:24" x14ac:dyDescent="0.25">
      <c r="B28" s="6" t="s">
        <v>40</v>
      </c>
      <c r="C28" s="19"/>
      <c r="D28" s="6"/>
      <c r="E28" s="6"/>
      <c r="F28" s="6"/>
      <c r="G28" s="6"/>
      <c r="H28" s="6"/>
      <c r="J28" s="6" t="s">
        <v>42</v>
      </c>
      <c r="K28" s="19"/>
      <c r="L28" s="6"/>
      <c r="M28" s="6"/>
      <c r="N28" s="6"/>
      <c r="O28" s="6"/>
      <c r="P28" s="6"/>
      <c r="R28" s="6" t="s">
        <v>43</v>
      </c>
      <c r="S28" s="19"/>
      <c r="T28" s="6"/>
      <c r="U28" s="6"/>
      <c r="V28" s="6"/>
      <c r="W28" s="6"/>
      <c r="X28" s="6"/>
    </row>
    <row r="29" spans="2:24" x14ac:dyDescent="0.25">
      <c r="B29" s="5" t="s">
        <v>3</v>
      </c>
      <c r="J29" s="5" t="s">
        <v>3</v>
      </c>
      <c r="K29" s="20"/>
      <c r="R29" s="5" t="s">
        <v>3</v>
      </c>
      <c r="S29" s="20"/>
    </row>
    <row r="30" spans="2:24" x14ac:dyDescent="0.25">
      <c r="B30" s="7" t="s">
        <v>15</v>
      </c>
      <c r="C30" s="20" t="s">
        <v>9</v>
      </c>
      <c r="D30" s="3">
        <f>CHOOSE($K$3,L30,T30)</f>
        <v>3000</v>
      </c>
      <c r="E30" s="4">
        <f t="shared" ref="E30:E44" si="14">CHOOSE($K$3,M30,U30)</f>
        <v>5250</v>
      </c>
      <c r="F30" s="4">
        <f t="shared" ref="F30:F44" si="15">CHOOSE($K$3,N30,V30)</f>
        <v>9187.5</v>
      </c>
      <c r="G30" s="4">
        <f t="shared" ref="G30:G44" si="16">CHOOSE($K$3,O30,W30)</f>
        <v>16078.125</v>
      </c>
      <c r="H30" s="4">
        <f t="shared" ref="H30:H44" si="17">CHOOSE($K$3,P30,X30)</f>
        <v>28136.71875</v>
      </c>
      <c r="J30" s="7" t="s">
        <v>15</v>
      </c>
      <c r="K30" s="20" t="s">
        <v>9</v>
      </c>
      <c r="L30" s="3">
        <v>3000</v>
      </c>
      <c r="M30" s="4">
        <f>L30*(1+M31)</f>
        <v>5250</v>
      </c>
      <c r="N30" s="4">
        <f t="shared" ref="N30" si="18">M30*(1+N31)</f>
        <v>9187.5</v>
      </c>
      <c r="O30" s="4">
        <f t="shared" ref="O30" si="19">N30*(1+O31)</f>
        <v>16078.125</v>
      </c>
      <c r="P30" s="4">
        <f t="shared" ref="P30" si="20">O30*(1+P31)</f>
        <v>28136.71875</v>
      </c>
      <c r="R30" s="7" t="s">
        <v>15</v>
      </c>
      <c r="S30" s="20" t="s">
        <v>9</v>
      </c>
      <c r="T30" s="3">
        <v>3000</v>
      </c>
      <c r="U30" s="4">
        <f>T30*(1+U31)</f>
        <v>3900</v>
      </c>
      <c r="V30" s="4">
        <f t="shared" ref="V30" si="21">U30*(1+V31)</f>
        <v>5070</v>
      </c>
      <c r="W30" s="4">
        <f t="shared" ref="W30" si="22">V30*(1+W31)</f>
        <v>6591</v>
      </c>
      <c r="X30" s="4">
        <f t="shared" ref="X30" si="23">W30*(1+X31)</f>
        <v>8568.3000000000011</v>
      </c>
    </row>
    <row r="31" spans="2:24" x14ac:dyDescent="0.25">
      <c r="B31" s="7" t="s">
        <v>16</v>
      </c>
      <c r="C31" s="20" t="s">
        <v>11</v>
      </c>
      <c r="D31" s="3">
        <f t="shared" ref="D31:D44" si="24">CHOOSE($K$3,L31,T31)</f>
        <v>0</v>
      </c>
      <c r="E31" s="28">
        <f t="shared" si="14"/>
        <v>0.75</v>
      </c>
      <c r="F31" s="28">
        <f t="shared" si="15"/>
        <v>0.75</v>
      </c>
      <c r="G31" s="28">
        <f t="shared" si="16"/>
        <v>0.75</v>
      </c>
      <c r="H31" s="28">
        <f t="shared" si="17"/>
        <v>0.75</v>
      </c>
      <c r="J31" s="7" t="s">
        <v>16</v>
      </c>
      <c r="K31" s="20" t="s">
        <v>11</v>
      </c>
      <c r="L31" s="3"/>
      <c r="M31" s="28">
        <v>0.75</v>
      </c>
      <c r="N31" s="28">
        <v>0.75</v>
      </c>
      <c r="O31" s="28">
        <v>0.75</v>
      </c>
      <c r="P31" s="28">
        <v>0.75</v>
      </c>
      <c r="R31" s="7" t="s">
        <v>16</v>
      </c>
      <c r="S31" s="20" t="s">
        <v>11</v>
      </c>
      <c r="T31" s="3"/>
      <c r="U31" s="28">
        <v>0.3</v>
      </c>
      <c r="V31" s="28">
        <v>0.3</v>
      </c>
      <c r="W31" s="28">
        <v>0.3</v>
      </c>
      <c r="X31" s="28">
        <v>0.3</v>
      </c>
    </row>
    <row r="32" spans="2:24" x14ac:dyDescent="0.25">
      <c r="B32" s="7" t="s">
        <v>14</v>
      </c>
      <c r="C32" s="20" t="s">
        <v>12</v>
      </c>
      <c r="D32" s="26">
        <f t="shared" si="24"/>
        <v>39.950000000000003</v>
      </c>
      <c r="E32" s="26">
        <f t="shared" si="14"/>
        <v>39.950000000000003</v>
      </c>
      <c r="F32" s="26">
        <f t="shared" si="15"/>
        <v>39.950000000000003</v>
      </c>
      <c r="G32" s="26">
        <f t="shared" si="16"/>
        <v>41</v>
      </c>
      <c r="H32" s="26">
        <f t="shared" si="17"/>
        <v>41</v>
      </c>
      <c r="J32" s="7" t="s">
        <v>14</v>
      </c>
      <c r="K32" s="20" t="s">
        <v>12</v>
      </c>
      <c r="L32" s="26">
        <v>39.950000000000003</v>
      </c>
      <c r="M32" s="26">
        <v>39.950000000000003</v>
      </c>
      <c r="N32" s="26">
        <v>39.950000000000003</v>
      </c>
      <c r="O32" s="26">
        <v>41</v>
      </c>
      <c r="P32" s="26">
        <v>41</v>
      </c>
      <c r="R32" s="7" t="s">
        <v>14</v>
      </c>
      <c r="S32" s="20" t="s">
        <v>12</v>
      </c>
      <c r="T32" s="26">
        <v>34.950000000000003</v>
      </c>
      <c r="U32" s="26">
        <v>34.950000000000003</v>
      </c>
      <c r="V32" s="26">
        <v>34.950000000000003</v>
      </c>
      <c r="W32" s="26">
        <v>34.950000000000003</v>
      </c>
      <c r="X32" s="26">
        <v>34.950000000000003</v>
      </c>
    </row>
    <row r="33" spans="2:24" x14ac:dyDescent="0.25">
      <c r="B33" s="7"/>
      <c r="D33" s="3"/>
      <c r="E33" s="3"/>
      <c r="F33" s="3"/>
      <c r="G33" s="3"/>
      <c r="H33" s="3"/>
      <c r="J33" s="7"/>
      <c r="K33" s="20"/>
      <c r="L33" s="3"/>
      <c r="M33" s="3"/>
      <c r="N33" s="3"/>
      <c r="O33" s="3"/>
      <c r="P33" s="3"/>
      <c r="R33" s="7"/>
      <c r="S33" s="20"/>
      <c r="T33" s="3"/>
      <c r="U33" s="3"/>
      <c r="V33" s="3"/>
      <c r="W33" s="3"/>
      <c r="X33" s="3"/>
    </row>
    <row r="34" spans="2:24" x14ac:dyDescent="0.25">
      <c r="B34" s="30" t="s">
        <v>25</v>
      </c>
      <c r="D34" s="3"/>
      <c r="E34" s="3"/>
      <c r="F34" s="3"/>
      <c r="G34" s="3"/>
      <c r="H34" s="3"/>
      <c r="J34" s="30" t="s">
        <v>25</v>
      </c>
      <c r="K34" s="20"/>
      <c r="L34" s="3"/>
      <c r="M34" s="3"/>
      <c r="N34" s="3"/>
      <c r="O34" s="3"/>
      <c r="P34" s="3"/>
      <c r="R34" s="30" t="s">
        <v>25</v>
      </c>
      <c r="S34" s="20"/>
      <c r="T34" s="3"/>
      <c r="U34" s="3"/>
      <c r="V34" s="3"/>
      <c r="W34" s="3"/>
      <c r="X34" s="3"/>
    </row>
    <row r="35" spans="2:24" x14ac:dyDescent="0.25">
      <c r="B35" s="7" t="s">
        <v>31</v>
      </c>
      <c r="C35" s="20" t="s">
        <v>12</v>
      </c>
      <c r="D35" s="26">
        <f t="shared" si="24"/>
        <v>6.5</v>
      </c>
      <c r="E35" s="26">
        <f t="shared" si="14"/>
        <v>6.5</v>
      </c>
      <c r="F35" s="26">
        <f t="shared" si="15"/>
        <v>6.5</v>
      </c>
      <c r="G35" s="26">
        <f t="shared" si="16"/>
        <v>6</v>
      </c>
      <c r="H35" s="26">
        <f t="shared" si="17"/>
        <v>5.5</v>
      </c>
      <c r="J35" s="7" t="s">
        <v>31</v>
      </c>
      <c r="K35" s="20" t="s">
        <v>12</v>
      </c>
      <c r="L35" s="26">
        <v>6.5</v>
      </c>
      <c r="M35" s="26">
        <v>6.5</v>
      </c>
      <c r="N35" s="26">
        <v>6.5</v>
      </c>
      <c r="O35" s="26">
        <v>6</v>
      </c>
      <c r="P35" s="26">
        <v>5.5</v>
      </c>
      <c r="R35" s="7" t="s">
        <v>31</v>
      </c>
      <c r="S35" s="20" t="s">
        <v>12</v>
      </c>
      <c r="T35" s="26">
        <v>8</v>
      </c>
      <c r="U35" s="26">
        <v>8</v>
      </c>
      <c r="V35" s="26">
        <v>8</v>
      </c>
      <c r="W35" s="26">
        <v>8</v>
      </c>
      <c r="X35" s="26">
        <v>8</v>
      </c>
    </row>
    <row r="36" spans="2:24" x14ac:dyDescent="0.25">
      <c r="B36" s="7" t="s">
        <v>32</v>
      </c>
      <c r="C36" s="20" t="s">
        <v>12</v>
      </c>
      <c r="D36" s="26">
        <f t="shared" si="24"/>
        <v>2.25</v>
      </c>
      <c r="E36" s="26">
        <f t="shared" si="14"/>
        <v>2.25</v>
      </c>
      <c r="F36" s="26">
        <f t="shared" si="15"/>
        <v>2.25</v>
      </c>
      <c r="G36" s="26">
        <f t="shared" si="16"/>
        <v>2</v>
      </c>
      <c r="H36" s="26">
        <f t="shared" si="17"/>
        <v>1.75</v>
      </c>
      <c r="J36" s="7" t="s">
        <v>32</v>
      </c>
      <c r="K36" s="20" t="s">
        <v>12</v>
      </c>
      <c r="L36" s="26">
        <v>2.25</v>
      </c>
      <c r="M36" s="26">
        <v>2.25</v>
      </c>
      <c r="N36" s="26">
        <v>2.25</v>
      </c>
      <c r="O36" s="26">
        <v>2</v>
      </c>
      <c r="P36" s="26">
        <v>1.75</v>
      </c>
      <c r="R36" s="7" t="s">
        <v>32</v>
      </c>
      <c r="S36" s="20" t="s">
        <v>12</v>
      </c>
      <c r="T36" s="26">
        <v>2.25</v>
      </c>
      <c r="U36" s="26">
        <v>2.25</v>
      </c>
      <c r="V36" s="26">
        <v>2.25</v>
      </c>
      <c r="W36" s="26">
        <v>2</v>
      </c>
      <c r="X36" s="26">
        <v>1.75</v>
      </c>
    </row>
    <row r="37" spans="2:24" x14ac:dyDescent="0.25">
      <c r="B37" s="7"/>
      <c r="D37" s="3"/>
      <c r="E37" s="3"/>
      <c r="F37" s="3"/>
      <c r="G37" s="3"/>
      <c r="H37" s="3"/>
      <c r="J37" s="7"/>
      <c r="K37" s="20"/>
      <c r="L37" s="3"/>
      <c r="M37" s="3"/>
      <c r="N37" s="3"/>
      <c r="O37" s="3"/>
      <c r="P37" s="3"/>
      <c r="R37" s="7"/>
      <c r="S37" s="20"/>
      <c r="T37" s="3"/>
      <c r="U37" s="3"/>
      <c r="V37" s="3"/>
      <c r="W37" s="3"/>
      <c r="X37" s="3"/>
    </row>
    <row r="38" spans="2:24" x14ac:dyDescent="0.25">
      <c r="B38" s="30" t="s">
        <v>22</v>
      </c>
      <c r="D38" s="3"/>
      <c r="E38" s="3"/>
      <c r="F38" s="3"/>
      <c r="G38" s="3"/>
      <c r="H38" s="3"/>
      <c r="J38" s="30" t="s">
        <v>22</v>
      </c>
      <c r="K38" s="20"/>
      <c r="L38" s="3"/>
      <c r="M38" s="3"/>
      <c r="N38" s="3"/>
      <c r="O38" s="3"/>
      <c r="P38" s="3"/>
      <c r="R38" s="30" t="s">
        <v>22</v>
      </c>
      <c r="S38" s="20"/>
      <c r="T38" s="3"/>
      <c r="U38" s="3"/>
      <c r="V38" s="3"/>
      <c r="W38" s="3"/>
      <c r="X38" s="3"/>
    </row>
    <row r="39" spans="2:24" x14ac:dyDescent="0.25">
      <c r="B39" s="7" t="s">
        <v>1</v>
      </c>
      <c r="C39" s="20" t="s">
        <v>12</v>
      </c>
      <c r="D39" s="3">
        <f t="shared" si="24"/>
        <v>20000</v>
      </c>
      <c r="E39" s="3">
        <f t="shared" si="14"/>
        <v>20000</v>
      </c>
      <c r="F39" s="3">
        <f t="shared" si="15"/>
        <v>20000</v>
      </c>
      <c r="G39" s="3">
        <f t="shared" si="16"/>
        <v>30000</v>
      </c>
      <c r="H39" s="3">
        <f t="shared" si="17"/>
        <v>30000</v>
      </c>
      <c r="J39" s="7" t="s">
        <v>1</v>
      </c>
      <c r="K39" s="20" t="s">
        <v>12</v>
      </c>
      <c r="L39" s="3">
        <v>20000</v>
      </c>
      <c r="M39" s="3">
        <v>20000</v>
      </c>
      <c r="N39" s="3">
        <v>20000</v>
      </c>
      <c r="O39" s="3">
        <v>30000</v>
      </c>
      <c r="P39" s="3">
        <v>30000</v>
      </c>
      <c r="R39" s="7" t="s">
        <v>1</v>
      </c>
      <c r="S39" s="20" t="s">
        <v>12</v>
      </c>
      <c r="T39" s="3">
        <v>20000</v>
      </c>
      <c r="U39" s="3">
        <v>20000</v>
      </c>
      <c r="V39" s="3">
        <v>20000</v>
      </c>
      <c r="W39" s="3">
        <v>20000</v>
      </c>
      <c r="X39" s="3">
        <v>20000</v>
      </c>
    </row>
    <row r="40" spans="2:24" x14ac:dyDescent="0.25">
      <c r="B40" s="7" t="s">
        <v>24</v>
      </c>
      <c r="C40" s="20" t="s">
        <v>12</v>
      </c>
      <c r="D40" s="3">
        <f t="shared" si="24"/>
        <v>50000</v>
      </c>
      <c r="E40" s="3">
        <f t="shared" si="14"/>
        <v>50000</v>
      </c>
      <c r="F40" s="3">
        <f t="shared" si="15"/>
        <v>50000</v>
      </c>
      <c r="G40" s="3">
        <f t="shared" si="16"/>
        <v>100000</v>
      </c>
      <c r="H40" s="3">
        <f t="shared" si="17"/>
        <v>100000</v>
      </c>
      <c r="J40" s="7" t="s">
        <v>24</v>
      </c>
      <c r="K40" s="20" t="s">
        <v>12</v>
      </c>
      <c r="L40" s="3">
        <v>50000</v>
      </c>
      <c r="M40" s="3">
        <v>50000</v>
      </c>
      <c r="N40" s="3">
        <v>50000</v>
      </c>
      <c r="O40" s="3">
        <v>100000</v>
      </c>
      <c r="P40" s="3">
        <v>100000</v>
      </c>
      <c r="R40" s="7" t="s">
        <v>24</v>
      </c>
      <c r="S40" s="20" t="s">
        <v>12</v>
      </c>
      <c r="T40" s="3">
        <v>50000</v>
      </c>
      <c r="U40" s="3">
        <v>50000</v>
      </c>
      <c r="V40" s="3">
        <v>50000</v>
      </c>
      <c r="W40" s="3">
        <v>50000</v>
      </c>
      <c r="X40" s="3">
        <v>50000</v>
      </c>
    </row>
    <row r="41" spans="2:24" x14ac:dyDescent="0.25">
      <c r="B41" s="7" t="s">
        <v>6</v>
      </c>
      <c r="C41" s="20" t="s">
        <v>12</v>
      </c>
      <c r="D41" s="3">
        <f t="shared" si="24"/>
        <v>25000</v>
      </c>
      <c r="E41" s="3">
        <f t="shared" si="14"/>
        <v>25000</v>
      </c>
      <c r="F41" s="3">
        <f t="shared" si="15"/>
        <v>25000</v>
      </c>
      <c r="G41" s="3">
        <f t="shared" si="16"/>
        <v>50000</v>
      </c>
      <c r="H41" s="3">
        <f t="shared" si="17"/>
        <v>50000</v>
      </c>
      <c r="J41" s="7" t="s">
        <v>6</v>
      </c>
      <c r="K41" s="20" t="s">
        <v>12</v>
      </c>
      <c r="L41" s="3">
        <v>25000</v>
      </c>
      <c r="M41" s="3">
        <v>25000</v>
      </c>
      <c r="N41" s="3">
        <v>25000</v>
      </c>
      <c r="O41" s="3">
        <v>50000</v>
      </c>
      <c r="P41" s="3">
        <v>50000</v>
      </c>
      <c r="R41" s="7" t="s">
        <v>6</v>
      </c>
      <c r="S41" s="20" t="s">
        <v>12</v>
      </c>
      <c r="T41" s="3">
        <v>25000</v>
      </c>
      <c r="U41" s="3">
        <v>25000</v>
      </c>
      <c r="V41" s="3">
        <v>25000</v>
      </c>
      <c r="W41" s="3">
        <v>25000</v>
      </c>
      <c r="X41" s="3">
        <v>25000</v>
      </c>
    </row>
    <row r="42" spans="2:24" x14ac:dyDescent="0.25">
      <c r="B42" s="7" t="s">
        <v>2</v>
      </c>
      <c r="C42" s="20" t="s">
        <v>12</v>
      </c>
      <c r="D42" s="3">
        <f t="shared" si="24"/>
        <v>5000</v>
      </c>
      <c r="E42" s="3">
        <f t="shared" si="14"/>
        <v>5000</v>
      </c>
      <c r="F42" s="3">
        <f t="shared" si="15"/>
        <v>5000</v>
      </c>
      <c r="G42" s="3">
        <f t="shared" si="16"/>
        <v>5000</v>
      </c>
      <c r="H42" s="3">
        <f t="shared" si="17"/>
        <v>5000</v>
      </c>
      <c r="J42" s="7" t="s">
        <v>2</v>
      </c>
      <c r="K42" s="20" t="s">
        <v>12</v>
      </c>
      <c r="L42" s="3">
        <v>5000</v>
      </c>
      <c r="M42" s="3">
        <v>5000</v>
      </c>
      <c r="N42" s="3">
        <v>5000</v>
      </c>
      <c r="O42" s="3">
        <v>5000</v>
      </c>
      <c r="P42" s="3">
        <v>5000</v>
      </c>
      <c r="R42" s="7" t="s">
        <v>2</v>
      </c>
      <c r="S42" s="20" t="s">
        <v>12</v>
      </c>
      <c r="T42" s="3">
        <v>5000</v>
      </c>
      <c r="U42" s="3">
        <v>5000</v>
      </c>
      <c r="V42" s="3">
        <v>5000</v>
      </c>
      <c r="W42" s="3">
        <v>5000</v>
      </c>
      <c r="X42" s="3">
        <v>5000</v>
      </c>
    </row>
    <row r="43" spans="2:24" x14ac:dyDescent="0.25">
      <c r="B43" s="7"/>
      <c r="D43" s="3"/>
      <c r="E43" s="3"/>
      <c r="F43" s="3"/>
      <c r="G43" s="3"/>
      <c r="H43" s="3"/>
      <c r="J43" s="7"/>
      <c r="K43" s="20"/>
      <c r="L43" s="3"/>
      <c r="M43" s="3"/>
      <c r="N43" s="3"/>
      <c r="O43" s="3"/>
      <c r="P43" s="3"/>
      <c r="R43" s="7"/>
      <c r="S43" s="20"/>
      <c r="T43" s="3"/>
      <c r="U43" s="3"/>
      <c r="V43" s="3"/>
      <c r="W43" s="3"/>
      <c r="X43" s="3"/>
    </row>
    <row r="44" spans="2:24" x14ac:dyDescent="0.25">
      <c r="B44" s="30" t="s">
        <v>23</v>
      </c>
      <c r="C44" s="20" t="s">
        <v>11</v>
      </c>
      <c r="D44" s="16">
        <f t="shared" si="24"/>
        <v>0.2</v>
      </c>
      <c r="E44" s="16">
        <f t="shared" si="14"/>
        <v>0.2</v>
      </c>
      <c r="F44" s="16">
        <f t="shared" si="15"/>
        <v>0.2</v>
      </c>
      <c r="G44" s="16">
        <f t="shared" si="16"/>
        <v>0.2</v>
      </c>
      <c r="H44" s="16">
        <f t="shared" si="17"/>
        <v>0.2</v>
      </c>
      <c r="J44" s="30" t="s">
        <v>23</v>
      </c>
      <c r="K44" s="20" t="s">
        <v>11</v>
      </c>
      <c r="L44" s="16">
        <v>0.2</v>
      </c>
      <c r="M44" s="16">
        <v>0.2</v>
      </c>
      <c r="N44" s="16">
        <v>0.2</v>
      </c>
      <c r="O44" s="16">
        <v>0.2</v>
      </c>
      <c r="P44" s="16">
        <v>0.2</v>
      </c>
      <c r="R44" s="30" t="s">
        <v>23</v>
      </c>
      <c r="S44" s="20" t="s">
        <v>11</v>
      </c>
      <c r="T44" s="16">
        <v>0.25</v>
      </c>
      <c r="U44" s="16">
        <v>0.25</v>
      </c>
      <c r="V44" s="16">
        <v>0.25</v>
      </c>
      <c r="W44" s="16">
        <v>0.25</v>
      </c>
      <c r="X44" s="16">
        <v>0.25</v>
      </c>
    </row>
  </sheetData>
  <phoneticPr fontId="10" type="noConversion"/>
  <dataValidations count="1">
    <dataValidation type="list" allowBlank="1" showInputMessage="1" showErrorMessage="1" sqref="K3" xr:uid="{77FEBECC-E7F2-4D09-9065-0AE3E4EBEB43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Ajit</cp:lastModifiedBy>
  <dcterms:created xsi:type="dcterms:W3CDTF">2022-08-22T01:16:26Z</dcterms:created>
  <dcterms:modified xsi:type="dcterms:W3CDTF">2026-01-30T07:26:13Z</dcterms:modified>
</cp:coreProperties>
</file>